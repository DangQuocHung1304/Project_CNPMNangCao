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2.CNPMNangCao\ThucHanh\Tuan01\"/>
    </mc:Choice>
  </mc:AlternateContent>
  <xr:revisionPtr revIDLastSave="0" documentId="13_ncr:1_{09315228-E239-4E6A-BF53-8C9F388F9FD6}" xr6:coauthVersionLast="47" xr6:coauthVersionMax="47" xr10:uidLastSave="{00000000-0000-0000-0000-000000000000}"/>
  <bookViews>
    <workbookView xWindow="14295" yWindow="0" windowWidth="14610" windowHeight="15585" tabRatio="798" activeTab="3" xr2:uid="{00000000-000D-0000-FFFF-FFFF00000000}"/>
  </bookViews>
  <sheets>
    <sheet name="Project Information" sheetId="7" r:id="rId1"/>
    <sheet name="Team" sheetId="4" r:id="rId2"/>
    <sheet name="Product backlog" sheetId="1" r:id="rId3"/>
    <sheet name="Sprint backlog" sheetId="6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5" i="6" l="1"/>
  <c r="C86" i="6"/>
  <c r="C77" i="6"/>
  <c r="C68" i="6"/>
  <c r="C59" i="6"/>
  <c r="C49" i="6"/>
  <c r="C39" i="6"/>
  <c r="C28" i="6"/>
  <c r="C17" i="6"/>
  <c r="D4" i="1"/>
  <c r="C5" i="6"/>
</calcChain>
</file>

<file path=xl/sharedStrings.xml><?xml version="1.0" encoding="utf-8"?>
<sst xmlns="http://schemas.openxmlformats.org/spreadsheetml/2006/main" count="286" uniqueCount="134">
  <si>
    <t>I. Requirements</t>
  </si>
  <si>
    <t>TEAM DEVELOPMENT STRUCTURE</t>
  </si>
  <si>
    <t>No.</t>
  </si>
  <si>
    <t>Name</t>
  </si>
  <si>
    <t>Account</t>
  </si>
  <si>
    <t>Roles</t>
  </si>
  <si>
    <t>DateStart</t>
  </si>
  <si>
    <t>Date End</t>
  </si>
  <si>
    <t>Story ID</t>
  </si>
  <si>
    <t>Story Name</t>
  </si>
  <si>
    <t>Points</t>
  </si>
  <si>
    <t>Name Of Dev</t>
  </si>
  <si>
    <t>Start Date</t>
  </si>
  <si>
    <t>Endate</t>
  </si>
  <si>
    <t>Act Start Date</t>
  </si>
  <si>
    <t>ActEndate</t>
  </si>
  <si>
    <t>Act Points</t>
  </si>
  <si>
    <t>Notes</t>
  </si>
  <si>
    <t>Sprint 1</t>
  </si>
  <si>
    <t>PRODUCT BACKLOG</t>
  </si>
  <si>
    <t>SPRINT BACKLOG</t>
  </si>
  <si>
    <t>Đặng Quốc Hưng</t>
  </si>
  <si>
    <t>Actor: là khách hàng tôi muốn</t>
  </si>
  <si>
    <t>Xem được trang chủ</t>
  </si>
  <si>
    <t>Xem chi tiết thông tin phòng khám</t>
  </si>
  <si>
    <t>Đăng ký lịch khám trực tuyến</t>
  </si>
  <si>
    <t>Tạo tài khoản</t>
  </si>
  <si>
    <t>Xem lại lịch sử khám</t>
  </si>
  <si>
    <t>Xem quá trình điều trị bệnh</t>
  </si>
  <si>
    <t>Thay đổi lịch hẹn khi đã đặt lịch</t>
  </si>
  <si>
    <t>Gọi tới phòng khám</t>
  </si>
  <si>
    <t>Liên hệ tư vấn trên web</t>
  </si>
  <si>
    <t>Đánh giá bác sĩ</t>
  </si>
  <si>
    <t>Đánh giá phòng khám</t>
  </si>
  <si>
    <t>Actor: là tiếp tân tôi muốn</t>
  </si>
  <si>
    <t>Nhận lịch khám của khách hàng qua đặt trực tuyến</t>
  </si>
  <si>
    <t>Nhận lịch khám của khách hàng qua đặt trực tiếp tại phòng khám</t>
  </si>
  <si>
    <t>Đặt lịch hẹn giữa bệnh nhân và bác sĩ</t>
  </si>
  <si>
    <t>Hủy lịch hẹn</t>
  </si>
  <si>
    <t>Chuyển đổi lịch hẹn</t>
  </si>
  <si>
    <t>Liên hệ khách hàng</t>
  </si>
  <si>
    <t>Actor: là bác sĩ tôi muốn</t>
  </si>
  <si>
    <t>Cập nhật thông tin cá nhân</t>
  </si>
  <si>
    <t>Cập nhật lịch trình làm việc</t>
  </si>
  <si>
    <t>Xem thông tin cá nhân của bệnh nhân</t>
  </si>
  <si>
    <t>Xem lịch sử bệnh của bệnh nhân</t>
  </si>
  <si>
    <t>Yêu cầu thực hiện các xét nghiệm cho bệnh nhân</t>
  </si>
  <si>
    <t>Đọc kết quả xét nghiệm</t>
  </si>
  <si>
    <t>Cho đơn thuốc</t>
  </si>
  <si>
    <t>Actor: là Nhân viên/ bác sĩ xét nghiệm, chụp phim, siêu âm</t>
  </si>
  <si>
    <t>Nhận các yêu cầu xét nghiệm từ phiếu yêu cầu của bác sĩ</t>
  </si>
  <si>
    <t>Điền các kết quả xét nghiệm</t>
  </si>
  <si>
    <t>Actor: là Nhân viên kế toán</t>
  </si>
  <si>
    <t>Tính toán các chi phí khám chữa bệnh</t>
  </si>
  <si>
    <t>Xuất ra bảng chi phí khám bệnh</t>
  </si>
  <si>
    <t>Tính toán lương</t>
  </si>
  <si>
    <t>Actor: là Nhân viên quản trị hệ thống</t>
  </si>
  <si>
    <t>Nhắc lịch hẹn khi gần đến giờ cho tất cả người dùng</t>
  </si>
  <si>
    <t>In ra lịch sử thông tin của bệnh nhân</t>
  </si>
  <si>
    <t>Nhân viên xét nghiệm / chẩn đoán hình ảnh</t>
  </si>
  <si>
    <t>Nhân viên kế toán</t>
  </si>
  <si>
    <t>Hệ thống (nhắc lịch, in ấn, lưu trữ, phân quyền)</t>
  </si>
  <si>
    <t>Xem thông tin phòng khám: chuyên môn, bác sĩ, trang thiết bị, địa chỉ, hotline.</t>
  </si>
  <si>
    <t>Tạo/đăng nhập tài khoản để quản lý hồ sơ cá nhân và lịch sử bệnh.</t>
  </si>
  <si>
    <t>Đặt lịch khám trực tuyến: chọn bác sĩ + ngày giờ; hiển thị trạng thái lịch.</t>
  </si>
  <si>
    <t>Thay đổi hoặc hủy lịch hẹn (quy tắc: chỉ được thay đổi trước ≥ 2 giờ so với giờ khám).</t>
  </si>
  <si>
    <t>Nhận nhắc lịch hẹn (notification) khi sắp đến giờ.</t>
  </si>
  <si>
    <t>Đánh giá bác sĩ và dịch vụ sau khám.</t>
  </si>
  <si>
    <t>Xem lại lịch sử khám, kết quả xét nghiệm, đơn thuốc (khi đã có).</t>
  </si>
  <si>
    <t>Nhận và quản lý lịch đặt trực tuyến &amp; đặt tại quầy.</t>
  </si>
  <si>
    <t>Tạo / hủy / chuyển lịch hẹn giữa bệnh nhân — bác sĩ.</t>
  </si>
  <si>
    <t>Liên hệ (call/SMS) bệnh nhân khi cần.</t>
  </si>
  <si>
    <t>Xem/sửa thông tin bệnh nhân theo phân quyền.</t>
  </si>
  <si>
    <t>Dành cho bác sĩ:</t>
  </si>
  <si>
    <t>Cập nhật thông tin cá nhân và lịch làm việc.</t>
  </si>
  <si>
    <t>Xem thông tin cá nhân, lịch sử bệnh của bệnh nhân.</t>
  </si>
  <si>
    <t>Yêu cầu xét nghiệm/chụp phim/siêu âm; đọc kết quả; kê đơn thuốc.</t>
  </si>
  <si>
    <t>Thay đổi/hủy lịch hẹn khi cần (theo quyền hạn).</t>
  </si>
  <si>
    <t>Dành cho nhân viên xét nghiệm / chẩn đoán:</t>
  </si>
  <si>
    <t>Nhận phiếu yêu cầu xét nghiệm/chụp phim từ bác sĩ.</t>
  </si>
  <si>
    <t>Điền/ghi kết quả xét nghiệm, hình ảnh, báo cáo dạng điện tử liên kết với hồ sơ bệnh nhân.</t>
  </si>
  <si>
    <t>Dành cho nhân viên kế toán:</t>
  </si>
  <si>
    <t>Tính toán chi phí khám-chữa bệnh và xuất bảng chi phí cho bệnh nhân.</t>
  </si>
  <si>
    <t>Tính lương cho bác sĩ/nhân viên (theo chính sách).</t>
  </si>
  <si>
    <t>Chức năng hệ thống chung:</t>
  </si>
  <si>
    <t>Nhắc lịch hẹn cho tất cả người dùng (bệnh nhân + nhân viên liên quan).</t>
  </si>
  <si>
    <t>In/ xuất hồ sơ bệnh nhân, lịch sử khám khi cần.</t>
  </si>
  <si>
    <t>Quản lý phân quyền theo vai trò (RBAC).</t>
  </si>
  <si>
    <t>Lưu lịch sử thao tác / audit log (ghi lại thay đổi quan trọng).</t>
  </si>
  <si>
    <t>Bệnh nhân chỉ được thay đổi lịch hẹn nếu thao tác cách giờ khám ≥ 2 giờ.</t>
  </si>
  <si>
    <t>Tiếp tân xử lý cả lịch đặt online và đăng ký trực tiếp tại phòng khám.</t>
  </si>
  <si>
    <t>Các yêu cầu xét nghiệm/phim phải có phiếu yêu cầu từ bác sĩ để nhân viên xét nghiệm thực hiện.</t>
  </si>
  <si>
    <t>Kết quả xét nghiệm, đơn thuốc, hóa đơn phải liên kết rõ với hồ sơ bệnh nhân.</t>
  </si>
  <si>
    <t>Hỗ trợ mobile: Android &amp; iOS cho phần bệnh nhân; ứng dụng nhân viên (mobile hoặc web) tùy chọn.</t>
  </si>
  <si>
    <t>Bảo mật &amp; riêng tư dữ liệu y tế (quyền truy cập, mã hóa, sao lưu).</t>
  </si>
  <si>
    <t>Khả năng in ấn và xuất file (PDF) cho hồ sơ &amp; hóa đơn.</t>
  </si>
  <si>
    <t>Độ sẵn sàng cao cho module đặt lịch &amp; nhắc nhở; phản hồi tức thì khi thao tác lịch.</t>
  </si>
  <si>
    <t>Audit logs cho các thao tác: thay đổi lịch, kê đơn, cập nhật kết quả.</t>
  </si>
  <si>
    <t>Khả năng mở rộng (số bác sĩ, bệnh nhân, dữ liệu xét nghiệm tăng theo thời gian).</t>
  </si>
  <si>
    <t>Tích hợp thông báo: push/SMS/email (tùy hạ tầng).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</si>
  <si>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</si>
  <si>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</si>
  <si>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</si>
  <si>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</si>
  <si>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</si>
  <si>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</si>
  <si>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</si>
  <si>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</si>
  <si>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</si>
  <si>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Thay đổi lịch hẹn của bác sĩ</t>
  </si>
  <si>
    <t>Hủy lịch hẹn của bác sĩ</t>
  </si>
  <si>
    <t>Hưng</t>
  </si>
  <si>
    <t>DangQuocHung1304 (Đặng Quốc Hưng)</t>
  </si>
  <si>
    <t>16/9/2025</t>
  </si>
  <si>
    <t>16/9/2026</t>
  </si>
  <si>
    <t>16/9/2027</t>
  </si>
  <si>
    <t>16/9/2028</t>
  </si>
  <si>
    <t>16/9/2029</t>
  </si>
  <si>
    <t>23/9/2025</t>
  </si>
  <si>
    <t>23/9/2026</t>
  </si>
  <si>
    <t>23/9/2027</t>
  </si>
  <si>
    <t>23/9/2028</t>
  </si>
  <si>
    <t>23/9/2029</t>
  </si>
  <si>
    <t>Product Owner, ScrumMaster, Team Lead, Dev</t>
  </si>
  <si>
    <t>I. Vai trò (actors)</t>
  </si>
  <si>
    <t>II. Yêu cầu chức năng chính (functional)</t>
  </si>
  <si>
    <t>III. Quy tắc nghiệp vụ quan trọng</t>
  </si>
  <si>
    <t>IV. Yêu cầu phi chức năng</t>
  </si>
  <si>
    <t>Bệnh nhân / người dùng</t>
  </si>
  <si>
    <t>Nhân viên tiếp tân</t>
  </si>
  <si>
    <t>Bác sĩ</t>
  </si>
  <si>
    <t>Dành cho bệnh nhân:</t>
  </si>
  <si>
    <t>Gọi trực tiếp tới hotline phòng khám từ Web.</t>
  </si>
  <si>
    <t>Dành cho tiếp tân (staff web):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</si>
</sst>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  <font>
      <b/>
      <sz val="14"/>
      <name val="Arial"/>
      <family val="2"/>
      <charset val="163"/>
    </font>
    <font>
      <sz val="12"/>
      <name val="Arial"/>
      <family val="2"/>
    </font>
    <font>
      <b/>
      <i/>
      <sz val="12"/>
      <name val="Arial"/>
      <family val="2"/>
    </font>
    <font>
      <u/>
      <sz val="10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0" fontId="0" fillId="5" borderId="0" xfId="0" applyFill="1"/>
    <xf numFmtId="0" fontId="3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0" xfId="0" applyAlignment="1">
      <alignment horizontal="center"/>
    </xf>
    <xf numFmtId="0" fontId="2" fillId="6" borderId="6" xfId="0" applyFont="1" applyFill="1" applyBorder="1"/>
    <xf numFmtId="15" fontId="0" fillId="0" borderId="6" xfId="0" applyNumberFormat="1" applyBorder="1"/>
    <xf numFmtId="0" fontId="4" fillId="4" borderId="6" xfId="0" applyFont="1" applyFill="1" applyBorder="1"/>
    <xf numFmtId="0" fontId="0" fillId="5" borderId="6" xfId="0" applyFill="1" applyBorder="1"/>
    <xf numFmtId="0" fontId="2" fillId="0" borderId="0" xfId="0" applyFont="1"/>
    <xf numFmtId="9" fontId="0" fillId="0" borderId="0" xfId="0" applyNumberFormat="1"/>
    <xf numFmtId="0" fontId="0" fillId="0" borderId="0" xfId="0" applyAlignment="1">
      <alignment horizontal="left"/>
    </xf>
    <xf numFmtId="0" fontId="0" fillId="0" borderId="9" xfId="0" applyBorder="1"/>
    <xf numFmtId="0" fontId="2" fillId="6" borderId="7" xfId="0" applyFont="1" applyFill="1" applyBorder="1"/>
    <xf numFmtId="0" fontId="0" fillId="2" borderId="7" xfId="0" applyFill="1" applyBorder="1"/>
    <xf numFmtId="0" fontId="0" fillId="0" borderId="4" xfId="0" applyBorder="1"/>
    <xf numFmtId="0" fontId="0" fillId="0" borderId="1" xfId="0" applyBorder="1" applyAlignment="1">
      <alignment horizontal="left"/>
    </xf>
    <xf numFmtId="0" fontId="0" fillId="2" borderId="2" xfId="0" applyFill="1" applyBorder="1"/>
    <xf numFmtId="0" fontId="2" fillId="2" borderId="7" xfId="0" applyFont="1" applyFill="1" applyBorder="1"/>
    <xf numFmtId="0" fontId="0" fillId="0" borderId="7" xfId="0" applyBorder="1"/>
    <xf numFmtId="0" fontId="0" fillId="0" borderId="4" xfId="0" applyBorder="1" applyAlignment="1">
      <alignment horizontal="left"/>
    </xf>
    <xf numFmtId="0" fontId="2" fillId="6" borderId="1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6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7" borderId="0" xfId="0" applyFill="1" applyAlignment="1">
      <alignment horizontal="left"/>
    </xf>
    <xf numFmtId="0" fontId="0" fillId="7" borderId="8" xfId="0" applyFill="1" applyBorder="1"/>
    <xf numFmtId="0" fontId="0" fillId="0" borderId="11" xfId="0" applyBorder="1"/>
    <xf numFmtId="0" fontId="0" fillId="0" borderId="8" xfId="0" applyBorder="1"/>
    <xf numFmtId="0" fontId="0" fillId="0" borderId="12" xfId="0" applyBorder="1"/>
    <xf numFmtId="0" fontId="2" fillId="0" borderId="0" xfId="0" applyFont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8" fillId="0" borderId="0" xfId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15" fontId="0" fillId="0" borderId="6" xfId="0" applyNumberForma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4" xfId="0" applyFont="1" applyBorder="1" applyAlignment="1">
      <alignment horizontal="left" vertical="center" indent="1"/>
    </xf>
    <xf numFmtId="0" fontId="6" fillId="0" borderId="13" xfId="0" applyFont="1" applyBorder="1" applyAlignment="1">
      <alignment horizontal="left" vertical="center" indent="2"/>
    </xf>
    <xf numFmtId="0" fontId="6" fillId="0" borderId="0" xfId="0" applyFont="1" applyBorder="1" applyAlignment="1">
      <alignment horizontal="left" vertical="center" indent="2"/>
    </xf>
    <xf numFmtId="0" fontId="6" fillId="0" borderId="14" xfId="0" applyFont="1" applyBorder="1" applyAlignment="1">
      <alignment horizontal="left" vertical="center" indent="2"/>
    </xf>
    <xf numFmtId="0" fontId="6" fillId="0" borderId="15" xfId="0" applyFont="1" applyBorder="1" applyAlignment="1">
      <alignment horizontal="left" vertical="center" indent="2"/>
    </xf>
    <xf numFmtId="0" fontId="6" fillId="0" borderId="3" xfId="0" applyFont="1" applyBorder="1" applyAlignment="1">
      <alignment horizontal="left" vertical="center" indent="2"/>
    </xf>
    <xf numFmtId="0" fontId="6" fillId="0" borderId="16" xfId="0" applyFont="1" applyBorder="1" applyAlignment="1">
      <alignment horizontal="left" vertical="center" indent="2"/>
    </xf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B050"/>
      <color rgb="FFCCFFCC"/>
      <color rgb="FFFFD9D9"/>
      <color rgb="FFFF6D6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DangQuocHung130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3"/>
  <sheetViews>
    <sheetView zoomScale="116" workbookViewId="0">
      <selection activeCell="C54" sqref="C54"/>
    </sheetView>
  </sheetViews>
  <sheetFormatPr defaultColWidth="8.85546875" defaultRowHeight="12.75" x14ac:dyDescent="0.2"/>
  <sheetData>
    <row r="2" spans="2:14" x14ac:dyDescent="0.2">
      <c r="B2" s="11" t="s">
        <v>0</v>
      </c>
    </row>
    <row r="3" spans="2:14" ht="18" x14ac:dyDescent="0.2">
      <c r="B3" s="52" t="s">
        <v>124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4"/>
    </row>
    <row r="4" spans="2:14" ht="15" x14ac:dyDescent="0.2">
      <c r="B4" s="62" t="s">
        <v>128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4"/>
      <c r="N4" s="30"/>
    </row>
    <row r="5" spans="2:14" ht="15" x14ac:dyDescent="0.2">
      <c r="B5" s="62" t="s">
        <v>129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4"/>
      <c r="N5" s="30"/>
    </row>
    <row r="6" spans="2:14" ht="15" x14ac:dyDescent="0.2">
      <c r="B6" s="62" t="s">
        <v>130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4"/>
      <c r="N6" s="30"/>
    </row>
    <row r="7" spans="2:14" ht="15" x14ac:dyDescent="0.2">
      <c r="B7" s="62" t="s">
        <v>59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4"/>
      <c r="N7" s="30"/>
    </row>
    <row r="8" spans="2:14" ht="15" x14ac:dyDescent="0.2">
      <c r="B8" s="62" t="s">
        <v>60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4"/>
      <c r="N8" s="30"/>
    </row>
    <row r="9" spans="2:14" ht="15" x14ac:dyDescent="0.2">
      <c r="B9" s="62" t="s">
        <v>61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4"/>
      <c r="N9" s="30"/>
    </row>
    <row r="10" spans="2:14" ht="18" x14ac:dyDescent="0.2">
      <c r="B10" s="55" t="s">
        <v>125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6"/>
      <c r="N10" s="30"/>
    </row>
    <row r="11" spans="2:14" ht="15" x14ac:dyDescent="0.2">
      <c r="B11" s="59" t="s">
        <v>131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1"/>
      <c r="N11" s="30"/>
    </row>
    <row r="12" spans="2:14" ht="15" x14ac:dyDescent="0.2">
      <c r="B12" s="62" t="s">
        <v>62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4"/>
      <c r="N12" s="30"/>
    </row>
    <row r="13" spans="2:14" ht="15" x14ac:dyDescent="0.2">
      <c r="B13" s="62" t="s">
        <v>63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4"/>
      <c r="N13" s="30"/>
    </row>
    <row r="14" spans="2:14" ht="15" x14ac:dyDescent="0.2">
      <c r="B14" s="62" t="s">
        <v>64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4"/>
      <c r="N14" s="30"/>
    </row>
    <row r="15" spans="2:14" ht="15" x14ac:dyDescent="0.2">
      <c r="B15" s="62" t="s">
        <v>65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4"/>
      <c r="N15" s="30"/>
    </row>
    <row r="16" spans="2:14" ht="15" x14ac:dyDescent="0.2">
      <c r="B16" s="62" t="s">
        <v>66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4"/>
      <c r="N16" s="30"/>
    </row>
    <row r="17" spans="2:14" ht="15" x14ac:dyDescent="0.2">
      <c r="B17" s="62" t="s">
        <v>132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4"/>
      <c r="N17" s="30"/>
    </row>
    <row r="18" spans="2:14" ht="15" x14ac:dyDescent="0.2">
      <c r="B18" s="62" t="s">
        <v>67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4"/>
      <c r="N18" s="30"/>
    </row>
    <row r="19" spans="2:14" ht="15" x14ac:dyDescent="0.2">
      <c r="B19" s="62" t="s">
        <v>68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4"/>
      <c r="N19" s="30"/>
    </row>
    <row r="20" spans="2:14" ht="15" x14ac:dyDescent="0.2">
      <c r="B20" s="59" t="s">
        <v>133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</row>
    <row r="21" spans="2:14" ht="15" x14ac:dyDescent="0.2">
      <c r="B21" s="62" t="s">
        <v>69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4"/>
    </row>
    <row r="22" spans="2:14" ht="15" x14ac:dyDescent="0.2">
      <c r="B22" s="62" t="s">
        <v>70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4"/>
    </row>
    <row r="23" spans="2:14" ht="15" x14ac:dyDescent="0.2">
      <c r="B23" s="62" t="s">
        <v>71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4"/>
    </row>
    <row r="24" spans="2:14" ht="15" x14ac:dyDescent="0.2">
      <c r="B24" s="62" t="s">
        <v>72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4"/>
    </row>
    <row r="25" spans="2:14" ht="15" x14ac:dyDescent="0.2">
      <c r="B25" s="59" t="s">
        <v>73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1"/>
    </row>
    <row r="26" spans="2:14" ht="15" x14ac:dyDescent="0.2">
      <c r="B26" s="62" t="s">
        <v>74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4"/>
    </row>
    <row r="27" spans="2:14" ht="15" x14ac:dyDescent="0.2">
      <c r="B27" s="62" t="s">
        <v>75</v>
      </c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4"/>
    </row>
    <row r="28" spans="2:14" ht="15" x14ac:dyDescent="0.2">
      <c r="B28" s="62" t="s">
        <v>76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4"/>
    </row>
    <row r="29" spans="2:14" ht="15" x14ac:dyDescent="0.2">
      <c r="B29" s="62" t="s">
        <v>77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4"/>
    </row>
    <row r="30" spans="2:14" ht="15" x14ac:dyDescent="0.2">
      <c r="B30" s="59" t="s">
        <v>78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1"/>
    </row>
    <row r="31" spans="2:14" ht="15" x14ac:dyDescent="0.2">
      <c r="B31" s="62" t="s">
        <v>79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4"/>
    </row>
    <row r="32" spans="2:14" ht="15" x14ac:dyDescent="0.2">
      <c r="B32" s="62" t="s">
        <v>80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4"/>
    </row>
    <row r="33" spans="2:13" ht="15" x14ac:dyDescent="0.2">
      <c r="B33" s="59" t="s">
        <v>81</v>
      </c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1"/>
    </row>
    <row r="34" spans="2:13" ht="15" x14ac:dyDescent="0.2">
      <c r="B34" s="62" t="s">
        <v>82</v>
      </c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4"/>
    </row>
    <row r="35" spans="2:13" ht="15" x14ac:dyDescent="0.2">
      <c r="B35" s="62" t="s">
        <v>83</v>
      </c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4"/>
    </row>
    <row r="36" spans="2:13" ht="15" x14ac:dyDescent="0.2">
      <c r="B36" s="59" t="s">
        <v>84</v>
      </c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1"/>
    </row>
    <row r="37" spans="2:13" ht="15" x14ac:dyDescent="0.2">
      <c r="B37" s="62" t="s">
        <v>85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4"/>
    </row>
    <row r="38" spans="2:13" ht="15" x14ac:dyDescent="0.2">
      <c r="B38" s="62" t="s">
        <v>86</v>
      </c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4"/>
    </row>
    <row r="39" spans="2:13" ht="15" x14ac:dyDescent="0.2">
      <c r="B39" s="62" t="s">
        <v>87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4"/>
    </row>
    <row r="40" spans="2:13" ht="15" x14ac:dyDescent="0.2">
      <c r="B40" s="62" t="s">
        <v>88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4"/>
    </row>
    <row r="41" spans="2:13" ht="18" x14ac:dyDescent="0.2">
      <c r="B41" s="57" t="s">
        <v>126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8"/>
    </row>
    <row r="42" spans="2:13" ht="15" x14ac:dyDescent="0.2">
      <c r="B42" s="62" t="s">
        <v>89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4"/>
    </row>
    <row r="43" spans="2:13" ht="15" x14ac:dyDescent="0.2">
      <c r="B43" s="62" t="s">
        <v>90</v>
      </c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4"/>
    </row>
    <row r="44" spans="2:13" ht="15" x14ac:dyDescent="0.2">
      <c r="B44" s="62" t="s">
        <v>91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4"/>
    </row>
    <row r="45" spans="2:13" ht="15" x14ac:dyDescent="0.2">
      <c r="B45" s="62" t="s">
        <v>92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4"/>
    </row>
    <row r="46" spans="2:13" ht="18" x14ac:dyDescent="0.2">
      <c r="B46" s="57" t="s">
        <v>127</v>
      </c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8"/>
    </row>
    <row r="47" spans="2:13" ht="15" x14ac:dyDescent="0.2">
      <c r="B47" s="62" t="s">
        <v>93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4"/>
    </row>
    <row r="48" spans="2:13" ht="15" x14ac:dyDescent="0.2">
      <c r="B48" s="62" t="s">
        <v>94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4"/>
    </row>
    <row r="49" spans="2:13" ht="15" x14ac:dyDescent="0.2">
      <c r="B49" s="62" t="s">
        <v>95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4"/>
    </row>
    <row r="50" spans="2:13" ht="15" x14ac:dyDescent="0.2">
      <c r="B50" s="62" t="s">
        <v>96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4"/>
    </row>
    <row r="51" spans="2:13" ht="15" x14ac:dyDescent="0.2">
      <c r="B51" s="62" t="s">
        <v>97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4"/>
    </row>
    <row r="52" spans="2:13" ht="15" x14ac:dyDescent="0.2">
      <c r="B52" s="62" t="s">
        <v>98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4"/>
    </row>
    <row r="53" spans="2:13" ht="15" x14ac:dyDescent="0.2">
      <c r="B53" s="65" t="s">
        <v>99</v>
      </c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7"/>
    </row>
  </sheetData>
  <mergeCells count="51">
    <mergeCell ref="B42:M42"/>
    <mergeCell ref="B43:M43"/>
    <mergeCell ref="B30:M30"/>
    <mergeCell ref="B33:M33"/>
    <mergeCell ref="B36:M36"/>
    <mergeCell ref="B41:M41"/>
    <mergeCell ref="B31:M31"/>
    <mergeCell ref="B32:M32"/>
    <mergeCell ref="B34:M34"/>
    <mergeCell ref="B35:M35"/>
    <mergeCell ref="B37:M37"/>
    <mergeCell ref="B38:M38"/>
    <mergeCell ref="B39:M39"/>
    <mergeCell ref="B40:M40"/>
    <mergeCell ref="B3:M3"/>
    <mergeCell ref="B10:M10"/>
    <mergeCell ref="B11:M11"/>
    <mergeCell ref="B20:M20"/>
    <mergeCell ref="B4:M4"/>
    <mergeCell ref="B5:M5"/>
    <mergeCell ref="B6:M6"/>
    <mergeCell ref="B7:M7"/>
    <mergeCell ref="B8:M8"/>
    <mergeCell ref="B9:M9"/>
    <mergeCell ref="B12:M12"/>
    <mergeCell ref="B13:M13"/>
    <mergeCell ref="B14:M14"/>
    <mergeCell ref="B15:M15"/>
    <mergeCell ref="B16:M16"/>
    <mergeCell ref="B17:M17"/>
    <mergeCell ref="B18:M18"/>
    <mergeCell ref="B19:M19"/>
    <mergeCell ref="B21:M21"/>
    <mergeCell ref="B22:M22"/>
    <mergeCell ref="B23:M23"/>
    <mergeCell ref="B24:M24"/>
    <mergeCell ref="B26:M26"/>
    <mergeCell ref="B27:M27"/>
    <mergeCell ref="B28:M28"/>
    <mergeCell ref="B29:M29"/>
    <mergeCell ref="B25:M25"/>
    <mergeCell ref="B50:M50"/>
    <mergeCell ref="B51:M51"/>
    <mergeCell ref="B52:M52"/>
    <mergeCell ref="B53:M53"/>
    <mergeCell ref="B44:M44"/>
    <mergeCell ref="B45:M45"/>
    <mergeCell ref="B47:M47"/>
    <mergeCell ref="B48:M48"/>
    <mergeCell ref="B49:M49"/>
    <mergeCell ref="B46:M4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>
      <selection activeCell="C4" sqref="C4"/>
    </sheetView>
  </sheetViews>
  <sheetFormatPr defaultColWidth="8.85546875" defaultRowHeight="12.75" x14ac:dyDescent="0.2"/>
  <cols>
    <col min="1" max="1" width="4.28515625" customWidth="1"/>
    <col min="2" max="2" width="20.42578125" bestFit="1" customWidth="1"/>
    <col min="3" max="3" width="34.42578125" customWidth="1"/>
    <col min="4" max="4" width="16.28515625" bestFit="1" customWidth="1"/>
    <col min="5" max="253" width="11.42578125" customWidth="1"/>
  </cols>
  <sheetData>
    <row r="1" spans="1:6" x14ac:dyDescent="0.2">
      <c r="A1" s="41" t="s">
        <v>1</v>
      </c>
      <c r="B1" s="41"/>
      <c r="C1" s="41"/>
      <c r="D1" s="41"/>
      <c r="E1" s="41"/>
      <c r="F1" s="41"/>
    </row>
    <row r="3" spans="1:6" x14ac:dyDescent="0.2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 spans="1:6" s="30" customFormat="1" ht="38.25" x14ac:dyDescent="0.2">
      <c r="A4" s="45">
        <v>1</v>
      </c>
      <c r="B4" s="46" t="s">
        <v>21</v>
      </c>
      <c r="C4" s="47" t="s">
        <v>112</v>
      </c>
      <c r="D4" s="48" t="s">
        <v>123</v>
      </c>
      <c r="E4" s="49"/>
      <c r="F4" s="46"/>
    </row>
    <row r="5" spans="1:6" x14ac:dyDescent="0.2">
      <c r="A5" s="5"/>
      <c r="B5" s="5"/>
      <c r="C5" s="5"/>
      <c r="D5" s="5"/>
      <c r="E5" s="8"/>
      <c r="F5" s="5"/>
    </row>
    <row r="6" spans="1:6" x14ac:dyDescent="0.2">
      <c r="A6" s="5"/>
      <c r="B6" s="5"/>
      <c r="C6" s="5"/>
      <c r="D6" s="5"/>
      <c r="E6" s="8"/>
      <c r="F6" s="5"/>
    </row>
    <row r="7" spans="1:6" x14ac:dyDescent="0.2">
      <c r="A7" s="5"/>
      <c r="B7" s="5"/>
      <c r="C7" s="5"/>
      <c r="D7" s="5"/>
      <c r="E7" s="8"/>
      <c r="F7" s="5"/>
    </row>
    <row r="8" spans="1:6" x14ac:dyDescent="0.2">
      <c r="A8" s="5"/>
      <c r="B8" s="5"/>
      <c r="C8" s="5"/>
      <c r="D8" s="5"/>
      <c r="E8" s="8"/>
      <c r="F8" s="5"/>
    </row>
    <row r="9" spans="1:6" s="2" customFormat="1" x14ac:dyDescent="0.2">
      <c r="A9" s="10"/>
      <c r="B9" s="10"/>
      <c r="C9" s="10"/>
      <c r="D9" s="10"/>
      <c r="E9" s="8"/>
      <c r="F9" s="10"/>
    </row>
    <row r="10" spans="1:6" s="2" customFormat="1" x14ac:dyDescent="0.2">
      <c r="A10" s="10"/>
      <c r="B10" s="10"/>
      <c r="C10" s="10"/>
      <c r="D10" s="10"/>
      <c r="E10" s="8"/>
      <c r="F10" s="10"/>
    </row>
  </sheetData>
  <mergeCells count="1">
    <mergeCell ref="A1:F1"/>
  </mergeCells>
  <hyperlinks>
    <hyperlink ref="C4" r:id="rId1" display="https://github.com/DangQuocHung1304" xr:uid="{D90331D4-F4AE-4EB8-A92B-55A23651EAAF}"/>
  </hyperlinks>
  <pageMargins left="0.75" right="0.75" top="1" bottom="1" header="0.5" footer="0.5"/>
  <pageSetup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3"/>
  <sheetViews>
    <sheetView zoomScale="110" zoomScaleNormal="100" workbookViewId="0">
      <pane ySplit="4" topLeftCell="A5" activePane="bottomLeft" state="frozen"/>
      <selection pane="bottomLeft" activeCell="C40" sqref="C40"/>
    </sheetView>
  </sheetViews>
  <sheetFormatPr defaultColWidth="8.85546875" defaultRowHeight="15" customHeight="1" x14ac:dyDescent="0.2"/>
  <cols>
    <col min="2" max="2" width="10" bestFit="1" customWidth="1"/>
    <col min="3" max="3" width="67.28515625" customWidth="1"/>
    <col min="4" max="4" width="11" customWidth="1"/>
  </cols>
  <sheetData>
    <row r="1" spans="2:8" ht="15" customHeight="1" x14ac:dyDescent="0.25">
      <c r="C1" s="3" t="s">
        <v>19</v>
      </c>
    </row>
    <row r="2" spans="2:8" ht="15" customHeight="1" thickBot="1" x14ac:dyDescent="0.25">
      <c r="B2" s="1"/>
      <c r="C2" s="6"/>
      <c r="D2" s="1"/>
    </row>
    <row r="3" spans="2:8" ht="15" customHeight="1" thickBot="1" x14ac:dyDescent="0.25">
      <c r="B3" s="23" t="s">
        <v>8</v>
      </c>
      <c r="C3" s="15" t="s">
        <v>9</v>
      </c>
      <c r="D3" s="29" t="s">
        <v>10</v>
      </c>
    </row>
    <row r="4" spans="2:8" ht="13.5" thickBot="1" x14ac:dyDescent="0.25">
      <c r="B4" s="24"/>
      <c r="C4" s="21"/>
      <c r="D4" s="14">
        <f>SUM(D6:D43)</f>
        <v>92</v>
      </c>
    </row>
    <row r="5" spans="2:8" ht="15" customHeight="1" thickBot="1" x14ac:dyDescent="0.25">
      <c r="B5" s="25"/>
      <c r="C5" s="20" t="s">
        <v>22</v>
      </c>
      <c r="D5" s="19"/>
    </row>
    <row r="6" spans="2:8" ht="15" customHeight="1" x14ac:dyDescent="0.2">
      <c r="B6" s="26">
        <v>1</v>
      </c>
      <c r="C6" s="17" t="s">
        <v>23</v>
      </c>
      <c r="D6" s="38">
        <v>2</v>
      </c>
    </row>
    <row r="7" spans="2:8" ht="15" customHeight="1" x14ac:dyDescent="0.2">
      <c r="B7" s="27">
        <v>2</v>
      </c>
      <c r="C7" t="s">
        <v>24</v>
      </c>
      <c r="D7" s="39">
        <v>2</v>
      </c>
      <c r="H7" s="12"/>
    </row>
    <row r="8" spans="2:8" ht="15" customHeight="1" x14ac:dyDescent="0.2">
      <c r="B8" s="27">
        <v>3</v>
      </c>
      <c r="C8" s="13" t="s">
        <v>25</v>
      </c>
      <c r="D8" s="39">
        <v>2</v>
      </c>
    </row>
    <row r="9" spans="2:8" ht="15" customHeight="1" x14ac:dyDescent="0.2">
      <c r="B9" s="27">
        <v>4</v>
      </c>
      <c r="C9" s="13" t="s">
        <v>26</v>
      </c>
      <c r="D9" s="39">
        <v>4</v>
      </c>
    </row>
    <row r="10" spans="2:8" ht="15" customHeight="1" x14ac:dyDescent="0.2">
      <c r="B10" s="27">
        <v>5</v>
      </c>
      <c r="C10" s="13" t="s">
        <v>27</v>
      </c>
      <c r="D10" s="39">
        <v>2</v>
      </c>
    </row>
    <row r="11" spans="2:8" ht="15" customHeight="1" x14ac:dyDescent="0.2">
      <c r="B11" s="27">
        <v>6</v>
      </c>
      <c r="C11" s="13" t="s">
        <v>28</v>
      </c>
      <c r="D11" s="39">
        <v>2</v>
      </c>
    </row>
    <row r="12" spans="2:8" ht="15" customHeight="1" x14ac:dyDescent="0.2">
      <c r="B12" s="27">
        <v>7</v>
      </c>
      <c r="C12" s="13" t="s">
        <v>29</v>
      </c>
      <c r="D12" s="39">
        <v>2</v>
      </c>
    </row>
    <row r="13" spans="2:8" ht="15" customHeight="1" x14ac:dyDescent="0.2">
      <c r="B13" s="27">
        <v>8</v>
      </c>
      <c r="C13" s="36" t="s">
        <v>30</v>
      </c>
      <c r="D13" s="37">
        <v>6</v>
      </c>
    </row>
    <row r="14" spans="2:8" ht="15" customHeight="1" x14ac:dyDescent="0.2">
      <c r="B14" s="27">
        <v>9</v>
      </c>
      <c r="C14" s="36" t="s">
        <v>31</v>
      </c>
      <c r="D14" s="37">
        <v>5</v>
      </c>
    </row>
    <row r="15" spans="2:8" ht="15" customHeight="1" x14ac:dyDescent="0.2">
      <c r="B15" s="27">
        <v>10</v>
      </c>
      <c r="C15" s="13" t="s">
        <v>32</v>
      </c>
      <c r="D15" s="39">
        <v>2</v>
      </c>
    </row>
    <row r="16" spans="2:8" ht="15" customHeight="1" thickBot="1" x14ac:dyDescent="0.25">
      <c r="B16" s="28">
        <v>11</v>
      </c>
      <c r="C16" s="18" t="s">
        <v>33</v>
      </c>
      <c r="D16" s="40">
        <v>2</v>
      </c>
    </row>
    <row r="17" spans="2:4" ht="15" customHeight="1" thickBot="1" x14ac:dyDescent="0.25">
      <c r="B17" s="25"/>
      <c r="C17" s="20" t="s">
        <v>34</v>
      </c>
      <c r="D17" s="16"/>
    </row>
    <row r="18" spans="2:4" ht="15" customHeight="1" x14ac:dyDescent="0.2">
      <c r="B18" s="26">
        <v>1</v>
      </c>
      <c r="C18" s="22" t="s">
        <v>35</v>
      </c>
      <c r="D18" s="38">
        <v>3</v>
      </c>
    </row>
    <row r="19" spans="2:4" ht="15" customHeight="1" x14ac:dyDescent="0.2">
      <c r="B19" s="27">
        <v>2</v>
      </c>
      <c r="C19" s="13" t="s">
        <v>36</v>
      </c>
      <c r="D19" s="39">
        <v>4</v>
      </c>
    </row>
    <row r="20" spans="2:4" ht="15" customHeight="1" x14ac:dyDescent="0.2">
      <c r="B20" s="27">
        <v>3</v>
      </c>
      <c r="C20" s="13" t="s">
        <v>37</v>
      </c>
      <c r="D20" s="39">
        <v>3</v>
      </c>
    </row>
    <row r="21" spans="2:4" ht="15" customHeight="1" x14ac:dyDescent="0.2">
      <c r="B21" s="27">
        <v>4</v>
      </c>
      <c r="C21" s="13" t="s">
        <v>38</v>
      </c>
      <c r="D21" s="39">
        <v>1</v>
      </c>
    </row>
    <row r="22" spans="2:4" ht="15" customHeight="1" x14ac:dyDescent="0.2">
      <c r="B22" s="27">
        <v>5</v>
      </c>
      <c r="C22" s="13" t="s">
        <v>39</v>
      </c>
      <c r="D22" s="39">
        <v>3</v>
      </c>
    </row>
    <row r="23" spans="2:4" ht="15" customHeight="1" thickBot="1" x14ac:dyDescent="0.25">
      <c r="B23" s="27">
        <v>6</v>
      </c>
      <c r="C23" s="36" t="s">
        <v>40</v>
      </c>
      <c r="D23" s="37">
        <v>5</v>
      </c>
    </row>
    <row r="24" spans="2:4" ht="15" customHeight="1" thickBot="1" x14ac:dyDescent="0.25">
      <c r="B24" s="25"/>
      <c r="C24" s="20" t="s">
        <v>41</v>
      </c>
      <c r="D24" s="16"/>
    </row>
    <row r="25" spans="2:4" ht="15" customHeight="1" x14ac:dyDescent="0.2">
      <c r="B25" s="26">
        <v>1</v>
      </c>
      <c r="C25" s="13" t="s">
        <v>42</v>
      </c>
      <c r="D25" s="38">
        <v>2</v>
      </c>
    </row>
    <row r="26" spans="2:4" ht="15" customHeight="1" x14ac:dyDescent="0.2">
      <c r="B26" s="27">
        <v>2</v>
      </c>
      <c r="C26" s="13" t="s">
        <v>43</v>
      </c>
      <c r="D26" s="39">
        <v>2</v>
      </c>
    </row>
    <row r="27" spans="2:4" ht="15" customHeight="1" x14ac:dyDescent="0.2">
      <c r="B27" s="27">
        <v>3</v>
      </c>
      <c r="C27" s="13" t="s">
        <v>44</v>
      </c>
      <c r="D27" s="39">
        <v>2</v>
      </c>
    </row>
    <row r="28" spans="2:4" ht="15" customHeight="1" x14ac:dyDescent="0.2">
      <c r="B28" s="27">
        <v>4</v>
      </c>
      <c r="C28" s="13" t="s">
        <v>109</v>
      </c>
      <c r="D28" s="39">
        <v>3</v>
      </c>
    </row>
    <row r="29" spans="2:4" ht="15" customHeight="1" x14ac:dyDescent="0.2">
      <c r="B29" s="27">
        <v>5</v>
      </c>
      <c r="C29" s="13" t="s">
        <v>110</v>
      </c>
      <c r="D29" s="39">
        <v>2</v>
      </c>
    </row>
    <row r="30" spans="2:4" ht="15" customHeight="1" x14ac:dyDescent="0.2">
      <c r="B30" s="27">
        <v>6</v>
      </c>
      <c r="C30" s="13" t="s">
        <v>45</v>
      </c>
      <c r="D30" s="39">
        <v>2</v>
      </c>
    </row>
    <row r="31" spans="2:4" ht="15" customHeight="1" x14ac:dyDescent="0.2">
      <c r="B31" s="27">
        <v>7</v>
      </c>
      <c r="C31" s="13" t="s">
        <v>46</v>
      </c>
      <c r="D31" s="39">
        <v>3</v>
      </c>
    </row>
    <row r="32" spans="2:4" ht="15" customHeight="1" x14ac:dyDescent="0.2">
      <c r="B32" s="27">
        <v>8</v>
      </c>
      <c r="C32" s="13" t="s">
        <v>47</v>
      </c>
      <c r="D32" s="39">
        <v>2</v>
      </c>
    </row>
    <row r="33" spans="2:4" ht="15" customHeight="1" thickBot="1" x14ac:dyDescent="0.25">
      <c r="B33" s="28">
        <v>9</v>
      </c>
      <c r="C33" s="13" t="s">
        <v>48</v>
      </c>
      <c r="D33" s="40">
        <v>3</v>
      </c>
    </row>
    <row r="34" spans="2:4" ht="15" customHeight="1" thickBot="1" x14ac:dyDescent="0.25">
      <c r="B34" s="25"/>
      <c r="C34" s="20" t="s">
        <v>49</v>
      </c>
      <c r="D34" s="16"/>
    </row>
    <row r="35" spans="2:4" ht="15" customHeight="1" x14ac:dyDescent="0.2">
      <c r="B35" s="27">
        <v>1</v>
      </c>
      <c r="C35" s="13" t="s">
        <v>50</v>
      </c>
      <c r="D35" s="38">
        <v>2</v>
      </c>
    </row>
    <row r="36" spans="2:4" ht="15" customHeight="1" thickBot="1" x14ac:dyDescent="0.25">
      <c r="B36" s="27">
        <v>2</v>
      </c>
      <c r="C36" s="4" t="s">
        <v>51</v>
      </c>
      <c r="D36" s="40">
        <v>2</v>
      </c>
    </row>
    <row r="37" spans="2:4" ht="15" customHeight="1" thickBot="1" x14ac:dyDescent="0.25">
      <c r="B37" s="25"/>
      <c r="C37" s="20" t="s">
        <v>52</v>
      </c>
      <c r="D37" s="16"/>
    </row>
    <row r="38" spans="2:4" ht="15" customHeight="1" x14ac:dyDescent="0.2">
      <c r="B38" s="26">
        <v>1</v>
      </c>
      <c r="C38" s="13" t="s">
        <v>53</v>
      </c>
      <c r="D38" s="38">
        <v>5</v>
      </c>
    </row>
    <row r="39" spans="2:4" ht="15" customHeight="1" x14ac:dyDescent="0.2">
      <c r="B39" s="27">
        <v>2</v>
      </c>
      <c r="C39" t="s">
        <v>54</v>
      </c>
      <c r="D39" s="39">
        <v>2</v>
      </c>
    </row>
    <row r="40" spans="2:4" ht="15" customHeight="1" thickBot="1" x14ac:dyDescent="0.25">
      <c r="B40" s="28">
        <v>3</v>
      </c>
      <c r="C40" s="13" t="s">
        <v>55</v>
      </c>
      <c r="D40" s="40">
        <v>4</v>
      </c>
    </row>
    <row r="41" spans="2:4" ht="15" customHeight="1" thickBot="1" x14ac:dyDescent="0.25">
      <c r="B41" s="25"/>
      <c r="C41" s="20" t="s">
        <v>56</v>
      </c>
      <c r="D41" s="16"/>
    </row>
    <row r="42" spans="2:4" ht="15" customHeight="1" x14ac:dyDescent="0.2">
      <c r="B42" s="26">
        <v>1</v>
      </c>
      <c r="C42" t="s">
        <v>57</v>
      </c>
      <c r="D42" s="38">
        <v>4</v>
      </c>
    </row>
    <row r="43" spans="2:4" ht="15" customHeight="1" thickBot="1" x14ac:dyDescent="0.25">
      <c r="B43" s="28">
        <v>2</v>
      </c>
      <c r="C43" s="1" t="s">
        <v>58</v>
      </c>
      <c r="D43" s="40">
        <v>2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"/>
  <sheetViews>
    <sheetView tabSelected="1" zoomScale="114" zoomScaleNormal="100" workbookViewId="0">
      <pane ySplit="5" topLeftCell="A6" activePane="bottomLeft" state="frozen"/>
      <selection pane="bottomLeft" activeCell="A18" sqref="A18:J18"/>
    </sheetView>
  </sheetViews>
  <sheetFormatPr defaultColWidth="8.85546875" defaultRowHeight="12.75" x14ac:dyDescent="0.2"/>
  <cols>
    <col min="1" max="1" width="10" style="6" bestFit="1" customWidth="1"/>
    <col min="2" max="2" width="54.42578125" customWidth="1"/>
    <col min="3" max="3" width="7.7109375" style="6" customWidth="1"/>
    <col min="4" max="4" width="12.85546875" bestFit="1" customWidth="1"/>
    <col min="5" max="5" width="11.42578125" customWidth="1"/>
    <col min="6" max="6" width="9" bestFit="1" customWidth="1"/>
    <col min="7" max="7" width="14.42578125" customWidth="1"/>
    <col min="8" max="8" width="13.42578125" customWidth="1"/>
    <col min="9" max="9" width="10" bestFit="1" customWidth="1"/>
    <col min="10" max="10" width="8.5703125" customWidth="1"/>
  </cols>
  <sheetData>
    <row r="1" spans="1:10" ht="34.5" customHeight="1" x14ac:dyDescent="0.25">
      <c r="A1" s="43" t="s">
        <v>20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18" customHeight="1" x14ac:dyDescent="0.25">
      <c r="A2" s="3"/>
      <c r="B2" s="3"/>
      <c r="C2" s="3"/>
      <c r="D2" s="3"/>
      <c r="E2" s="3"/>
      <c r="F2" s="3"/>
      <c r="G2" s="3"/>
      <c r="H2" s="3"/>
    </row>
    <row r="3" spans="1:10" x14ac:dyDescent="0.2">
      <c r="B3" s="6"/>
      <c r="E3" s="41"/>
      <c r="F3" s="41"/>
      <c r="G3" s="41"/>
      <c r="H3" s="41"/>
    </row>
    <row r="4" spans="1:10" x14ac:dyDescent="0.2">
      <c r="A4" s="31" t="s">
        <v>8</v>
      </c>
      <c r="B4" s="7" t="s">
        <v>9</v>
      </c>
      <c r="C4" s="31" t="s">
        <v>10</v>
      </c>
      <c r="D4" s="7" t="s">
        <v>11</v>
      </c>
      <c r="E4" s="7" t="s">
        <v>12</v>
      </c>
      <c r="F4" s="7" t="s">
        <v>13</v>
      </c>
      <c r="G4" s="7" t="s">
        <v>14</v>
      </c>
      <c r="H4" s="7" t="s">
        <v>15</v>
      </c>
      <c r="I4" s="7" t="s">
        <v>16</v>
      </c>
      <c r="J4" s="7" t="s">
        <v>17</v>
      </c>
    </row>
    <row r="5" spans="1:10" x14ac:dyDescent="0.2">
      <c r="A5" s="32"/>
      <c r="B5" s="5"/>
      <c r="C5" s="32">
        <f>SUM(C7:C11)</f>
        <v>12</v>
      </c>
      <c r="D5" s="5"/>
      <c r="E5" s="5"/>
      <c r="F5" s="5"/>
      <c r="G5" s="5"/>
      <c r="H5" s="5"/>
      <c r="I5" s="5"/>
      <c r="J5" s="5"/>
    </row>
    <row r="6" spans="1:10" ht="13.5" thickBot="1" x14ac:dyDescent="0.25">
      <c r="A6" s="44" t="s">
        <v>18</v>
      </c>
      <c r="B6" s="44"/>
      <c r="C6" s="44"/>
      <c r="D6" s="44"/>
      <c r="E6" s="44"/>
      <c r="F6" s="44"/>
      <c r="G6" s="44"/>
      <c r="H6" s="44"/>
      <c r="I6" s="44"/>
      <c r="J6" s="44"/>
    </row>
    <row r="7" spans="1:10" x14ac:dyDescent="0.2">
      <c r="A7" s="32">
        <v>1</v>
      </c>
      <c r="B7" s="17" t="s">
        <v>23</v>
      </c>
      <c r="C7" s="33">
        <v>2</v>
      </c>
      <c r="D7" s="5" t="s">
        <v>111</v>
      </c>
      <c r="E7" s="8" t="s">
        <v>113</v>
      </c>
      <c r="F7" s="8" t="s">
        <v>118</v>
      </c>
      <c r="G7" s="8"/>
      <c r="H7" s="8"/>
      <c r="I7" s="5"/>
      <c r="J7" s="5"/>
    </row>
    <row r="8" spans="1:10" x14ac:dyDescent="0.2">
      <c r="A8" s="32">
        <v>2</v>
      </c>
      <c r="B8" t="s">
        <v>24</v>
      </c>
      <c r="C8" s="34">
        <v>2</v>
      </c>
      <c r="D8" s="5" t="s">
        <v>111</v>
      </c>
      <c r="E8" s="8" t="s">
        <v>114</v>
      </c>
      <c r="F8" s="8" t="s">
        <v>119</v>
      </c>
      <c r="G8" s="8"/>
      <c r="H8" s="8"/>
      <c r="I8" s="5"/>
      <c r="J8" s="5"/>
    </row>
    <row r="9" spans="1:10" x14ac:dyDescent="0.2">
      <c r="A9" s="32">
        <v>3</v>
      </c>
      <c r="B9" s="13" t="s">
        <v>25</v>
      </c>
      <c r="C9" s="34">
        <v>2</v>
      </c>
      <c r="D9" s="5" t="s">
        <v>111</v>
      </c>
      <c r="E9" s="8" t="s">
        <v>115</v>
      </c>
      <c r="F9" s="8" t="s">
        <v>120</v>
      </c>
      <c r="G9" s="8"/>
      <c r="H9" s="8"/>
      <c r="I9" s="5"/>
      <c r="J9" s="5"/>
    </row>
    <row r="10" spans="1:10" x14ac:dyDescent="0.2">
      <c r="A10" s="32">
        <v>4</v>
      </c>
      <c r="B10" s="13" t="s">
        <v>26</v>
      </c>
      <c r="C10" s="34">
        <v>4</v>
      </c>
      <c r="D10" s="5" t="s">
        <v>111</v>
      </c>
      <c r="E10" s="8" t="s">
        <v>116</v>
      </c>
      <c r="F10" s="8" t="s">
        <v>121</v>
      </c>
      <c r="G10" s="8"/>
      <c r="H10" s="8"/>
      <c r="I10" s="5"/>
      <c r="J10" s="5"/>
    </row>
    <row r="11" spans="1:10" x14ac:dyDescent="0.2">
      <c r="A11" s="32">
        <v>5</v>
      </c>
      <c r="B11" s="13" t="s">
        <v>27</v>
      </c>
      <c r="C11" s="34">
        <v>2</v>
      </c>
      <c r="D11" s="5" t="s">
        <v>111</v>
      </c>
      <c r="E11" s="8" t="s">
        <v>117</v>
      </c>
      <c r="F11" s="8" t="s">
        <v>122</v>
      </c>
      <c r="G11" s="8"/>
      <c r="H11" s="8"/>
      <c r="I11" s="5"/>
      <c r="J11" s="5"/>
    </row>
    <row r="12" spans="1:10" x14ac:dyDescent="0.2">
      <c r="A12" s="42"/>
      <c r="B12" s="42"/>
      <c r="C12" s="42"/>
      <c r="D12" s="42"/>
      <c r="E12" s="42"/>
      <c r="F12" s="42"/>
      <c r="G12" s="42"/>
      <c r="H12" s="42"/>
      <c r="I12" s="42"/>
      <c r="J12" s="42"/>
    </row>
    <row r="16" spans="1:10" x14ac:dyDescent="0.2">
      <c r="A16" s="31" t="s">
        <v>8</v>
      </c>
      <c r="B16" s="7" t="s">
        <v>9</v>
      </c>
      <c r="C16" s="31" t="s">
        <v>10</v>
      </c>
      <c r="D16" s="7" t="s">
        <v>11</v>
      </c>
      <c r="E16" s="7" t="s">
        <v>12</v>
      </c>
      <c r="F16" s="7" t="s">
        <v>13</v>
      </c>
      <c r="G16" s="7" t="s">
        <v>14</v>
      </c>
      <c r="H16" s="7" t="s">
        <v>15</v>
      </c>
      <c r="I16" s="7" t="s">
        <v>16</v>
      </c>
      <c r="J16" s="7" t="s">
        <v>17</v>
      </c>
    </row>
    <row r="17" spans="1:10" x14ac:dyDescent="0.2">
      <c r="A17" s="32"/>
      <c r="B17" s="5"/>
      <c r="C17" s="32">
        <f>SUM(C19:C22)</f>
        <v>9</v>
      </c>
      <c r="D17" s="5"/>
      <c r="E17" s="5"/>
      <c r="F17" s="5"/>
      <c r="G17" s="5"/>
      <c r="H17" s="5"/>
      <c r="I17" s="5"/>
      <c r="J17" s="5"/>
    </row>
    <row r="18" spans="1:10" x14ac:dyDescent="0.2">
      <c r="A18" s="44" t="s">
        <v>100</v>
      </c>
      <c r="B18" s="44"/>
      <c r="C18" s="44"/>
      <c r="D18" s="44"/>
      <c r="E18" s="44"/>
      <c r="F18" s="44"/>
      <c r="G18" s="44"/>
      <c r="H18" s="44"/>
      <c r="I18" s="44"/>
      <c r="J18" s="44"/>
    </row>
    <row r="19" spans="1:10" x14ac:dyDescent="0.2">
      <c r="A19" s="32">
        <v>1</v>
      </c>
      <c r="B19" s="13" t="s">
        <v>29</v>
      </c>
      <c r="C19" s="32">
        <v>2</v>
      </c>
      <c r="D19" s="5" t="s">
        <v>111</v>
      </c>
      <c r="E19" s="8"/>
      <c r="F19" s="8"/>
      <c r="G19" s="8"/>
      <c r="H19" s="8"/>
      <c r="I19" s="5"/>
      <c r="J19" s="5"/>
    </row>
    <row r="20" spans="1:10" x14ac:dyDescent="0.2">
      <c r="A20" s="32">
        <v>2</v>
      </c>
      <c r="B20" s="13" t="s">
        <v>37</v>
      </c>
      <c r="C20" s="32">
        <v>3</v>
      </c>
      <c r="D20" s="5" t="s">
        <v>111</v>
      </c>
      <c r="E20" s="8"/>
      <c r="F20" s="8"/>
      <c r="G20" s="8"/>
      <c r="H20" s="8"/>
      <c r="I20" s="5"/>
      <c r="J20" s="5"/>
    </row>
    <row r="21" spans="1:10" x14ac:dyDescent="0.2">
      <c r="A21" s="32">
        <v>3</v>
      </c>
      <c r="B21" s="13" t="s">
        <v>38</v>
      </c>
      <c r="C21" s="34">
        <v>1</v>
      </c>
      <c r="D21" s="5" t="s">
        <v>111</v>
      </c>
      <c r="E21" s="8"/>
      <c r="F21" s="8"/>
      <c r="G21" s="8"/>
      <c r="H21" s="8"/>
      <c r="I21" s="5"/>
      <c r="J21" s="5"/>
    </row>
    <row r="22" spans="1:10" x14ac:dyDescent="0.2">
      <c r="A22" s="32">
        <v>4</v>
      </c>
      <c r="B22" s="13" t="s">
        <v>39</v>
      </c>
      <c r="C22" s="34">
        <v>3</v>
      </c>
      <c r="D22" s="5" t="s">
        <v>111</v>
      </c>
      <c r="E22" s="8"/>
      <c r="F22" s="8"/>
      <c r="G22" s="8"/>
      <c r="H22" s="8"/>
      <c r="I22" s="5"/>
      <c r="J22" s="5"/>
    </row>
    <row r="23" spans="1:10" x14ac:dyDescent="0.2">
      <c r="A23" s="42"/>
      <c r="B23" s="42"/>
      <c r="C23" s="42"/>
      <c r="D23" s="42"/>
      <c r="E23" s="42"/>
      <c r="F23" s="42"/>
      <c r="G23" s="42"/>
      <c r="H23" s="42"/>
      <c r="I23" s="42"/>
      <c r="J23" s="42"/>
    </row>
    <row r="27" spans="1:10" x14ac:dyDescent="0.2">
      <c r="A27" s="31" t="s">
        <v>8</v>
      </c>
      <c r="B27" s="7" t="s">
        <v>9</v>
      </c>
      <c r="C27" s="31" t="s">
        <v>10</v>
      </c>
      <c r="D27" s="7" t="s">
        <v>11</v>
      </c>
      <c r="E27" s="7" t="s">
        <v>12</v>
      </c>
      <c r="F27" s="7" t="s">
        <v>13</v>
      </c>
      <c r="G27" s="7" t="s">
        <v>14</v>
      </c>
      <c r="H27" s="7" t="s">
        <v>15</v>
      </c>
      <c r="I27" s="7" t="s">
        <v>16</v>
      </c>
      <c r="J27" s="7" t="s">
        <v>17</v>
      </c>
    </row>
    <row r="28" spans="1:10" x14ac:dyDescent="0.2">
      <c r="A28" s="32"/>
      <c r="B28" s="5"/>
      <c r="C28" s="32">
        <f>SUM(C30:C33)</f>
        <v>9</v>
      </c>
      <c r="D28" s="5"/>
      <c r="E28" s="5"/>
      <c r="F28" s="5"/>
      <c r="G28" s="5"/>
      <c r="H28" s="5"/>
      <c r="I28" s="5"/>
      <c r="J28" s="5"/>
    </row>
    <row r="29" spans="1:10" x14ac:dyDescent="0.2">
      <c r="A29" s="44" t="s">
        <v>101</v>
      </c>
      <c r="B29" s="44"/>
      <c r="C29" s="44"/>
      <c r="D29" s="44"/>
      <c r="E29" s="44"/>
      <c r="F29" s="44"/>
      <c r="G29" s="44"/>
      <c r="H29" s="44"/>
      <c r="I29" s="44"/>
      <c r="J29" s="44"/>
    </row>
    <row r="30" spans="1:10" x14ac:dyDescent="0.2">
      <c r="A30" s="32">
        <v>1</v>
      </c>
      <c r="B30" s="13" t="s">
        <v>109</v>
      </c>
      <c r="C30" s="34">
        <v>3</v>
      </c>
      <c r="D30" s="5" t="s">
        <v>111</v>
      </c>
      <c r="E30" s="8"/>
      <c r="F30" s="8"/>
      <c r="G30" s="8"/>
      <c r="H30" s="8"/>
      <c r="I30" s="5"/>
      <c r="J30" s="5"/>
    </row>
    <row r="31" spans="1:10" x14ac:dyDescent="0.2">
      <c r="A31" s="32">
        <v>2</v>
      </c>
      <c r="B31" s="13" t="s">
        <v>110</v>
      </c>
      <c r="C31" s="34">
        <v>2</v>
      </c>
      <c r="D31" s="5" t="s">
        <v>111</v>
      </c>
      <c r="E31" s="8"/>
      <c r="F31" s="8"/>
      <c r="G31" s="8"/>
      <c r="H31" s="8"/>
      <c r="I31" s="5"/>
      <c r="J31" s="5"/>
    </row>
    <row r="32" spans="1:10" x14ac:dyDescent="0.2">
      <c r="A32" s="32">
        <v>3</v>
      </c>
      <c r="B32" s="13" t="s">
        <v>32</v>
      </c>
      <c r="C32" s="34">
        <v>2</v>
      </c>
      <c r="D32" s="5" t="s">
        <v>111</v>
      </c>
      <c r="E32" s="8"/>
      <c r="F32" s="8"/>
      <c r="G32" s="8"/>
      <c r="H32" s="8"/>
      <c r="I32" s="5"/>
      <c r="J32" s="5"/>
    </row>
    <row r="33" spans="1:10" ht="13.5" thickBot="1" x14ac:dyDescent="0.25">
      <c r="A33" s="32">
        <v>4</v>
      </c>
      <c r="B33" s="18" t="s">
        <v>33</v>
      </c>
      <c r="C33" s="35">
        <v>2</v>
      </c>
      <c r="D33" s="5" t="s">
        <v>111</v>
      </c>
      <c r="E33" s="8"/>
      <c r="F33" s="8"/>
      <c r="G33" s="8"/>
      <c r="H33" s="8"/>
      <c r="I33" s="5"/>
      <c r="J33" s="5"/>
    </row>
    <row r="34" spans="1:10" x14ac:dyDescent="0.2">
      <c r="A34" s="42"/>
      <c r="B34" s="42"/>
      <c r="C34" s="42"/>
      <c r="D34" s="42"/>
      <c r="E34" s="42"/>
      <c r="F34" s="42"/>
      <c r="G34" s="42"/>
      <c r="H34" s="42"/>
      <c r="I34" s="42"/>
      <c r="J34" s="42"/>
    </row>
    <row r="38" spans="1:10" x14ac:dyDescent="0.2">
      <c r="A38" s="31" t="s">
        <v>8</v>
      </c>
      <c r="B38" s="7" t="s">
        <v>9</v>
      </c>
      <c r="C38" s="31" t="s">
        <v>10</v>
      </c>
      <c r="D38" s="7" t="s">
        <v>11</v>
      </c>
      <c r="E38" s="7" t="s">
        <v>12</v>
      </c>
      <c r="F38" s="7" t="s">
        <v>13</v>
      </c>
      <c r="G38" s="7" t="s">
        <v>14</v>
      </c>
      <c r="H38" s="7" t="s">
        <v>15</v>
      </c>
      <c r="I38" s="7" t="s">
        <v>16</v>
      </c>
      <c r="J38" s="7" t="s">
        <v>17</v>
      </c>
    </row>
    <row r="39" spans="1:10" x14ac:dyDescent="0.2">
      <c r="A39" s="32"/>
      <c r="B39" s="5"/>
      <c r="C39" s="32">
        <f>SUM(C41:C43)</f>
        <v>6</v>
      </c>
      <c r="D39" s="5"/>
      <c r="E39" s="5"/>
      <c r="F39" s="5"/>
      <c r="G39" s="5"/>
      <c r="H39" s="5"/>
      <c r="I39" s="5"/>
      <c r="J39" s="5"/>
    </row>
    <row r="40" spans="1:10" ht="13.5" thickBot="1" x14ac:dyDescent="0.25">
      <c r="A40" s="44" t="s">
        <v>102</v>
      </c>
      <c r="B40" s="44"/>
      <c r="C40" s="44"/>
      <c r="D40" s="44"/>
      <c r="E40" s="44"/>
      <c r="F40" s="44"/>
      <c r="G40" s="44"/>
      <c r="H40" s="44"/>
      <c r="I40" s="44"/>
      <c r="J40" s="44"/>
    </row>
    <row r="41" spans="1:10" x14ac:dyDescent="0.2">
      <c r="A41" s="32">
        <v>1</v>
      </c>
      <c r="B41" s="13" t="s">
        <v>42</v>
      </c>
      <c r="C41" s="33">
        <v>2</v>
      </c>
      <c r="D41" s="5" t="s">
        <v>111</v>
      </c>
      <c r="E41" s="8"/>
      <c r="F41" s="8"/>
      <c r="G41" s="8"/>
      <c r="H41" s="8"/>
      <c r="I41" s="5"/>
      <c r="J41" s="5"/>
    </row>
    <row r="42" spans="1:10" x14ac:dyDescent="0.2">
      <c r="A42" s="32">
        <v>2</v>
      </c>
      <c r="B42" s="13" t="s">
        <v>43</v>
      </c>
      <c r="C42" s="34">
        <v>2</v>
      </c>
      <c r="D42" s="5" t="s">
        <v>111</v>
      </c>
      <c r="E42" s="8"/>
      <c r="F42" s="8"/>
      <c r="G42" s="8"/>
      <c r="H42" s="8"/>
      <c r="I42" s="5"/>
      <c r="J42" s="5"/>
    </row>
    <row r="43" spans="1:10" x14ac:dyDescent="0.2">
      <c r="A43" s="32">
        <v>3</v>
      </c>
      <c r="B43" s="13" t="s">
        <v>44</v>
      </c>
      <c r="C43" s="34">
        <v>2</v>
      </c>
      <c r="D43" s="5" t="s">
        <v>111</v>
      </c>
      <c r="E43" s="8"/>
      <c r="F43" s="8"/>
      <c r="G43" s="8"/>
      <c r="H43" s="8"/>
      <c r="I43" s="5"/>
      <c r="J43" s="5"/>
    </row>
    <row r="44" spans="1:10" x14ac:dyDescent="0.2">
      <c r="A44" s="42"/>
      <c r="B44" s="42"/>
      <c r="C44" s="42"/>
      <c r="D44" s="42"/>
      <c r="E44" s="42"/>
      <c r="F44" s="42"/>
      <c r="G44" s="42"/>
      <c r="H44" s="42"/>
      <c r="I44" s="42"/>
      <c r="J44" s="42"/>
    </row>
    <row r="48" spans="1:10" x14ac:dyDescent="0.2">
      <c r="A48" s="31" t="s">
        <v>8</v>
      </c>
      <c r="B48" s="7" t="s">
        <v>9</v>
      </c>
      <c r="C48" s="31" t="s">
        <v>10</v>
      </c>
      <c r="D48" s="7" t="s">
        <v>11</v>
      </c>
      <c r="E48" s="7" t="s">
        <v>12</v>
      </c>
      <c r="F48" s="7" t="s">
        <v>13</v>
      </c>
      <c r="G48" s="7" t="s">
        <v>14</v>
      </c>
      <c r="H48" s="7" t="s">
        <v>15</v>
      </c>
      <c r="I48" s="7" t="s">
        <v>16</v>
      </c>
      <c r="J48" s="7" t="s">
        <v>17</v>
      </c>
    </row>
    <row r="49" spans="1:10" x14ac:dyDescent="0.2">
      <c r="A49" s="32"/>
      <c r="B49" s="5"/>
      <c r="C49" s="32">
        <f>SUM(C51:C53)</f>
        <v>9</v>
      </c>
      <c r="D49" s="5"/>
      <c r="E49" s="5"/>
      <c r="F49" s="5"/>
      <c r="G49" s="5"/>
      <c r="H49" s="5"/>
      <c r="I49" s="5"/>
      <c r="J49" s="5"/>
    </row>
    <row r="50" spans="1:10" x14ac:dyDescent="0.2">
      <c r="A50" s="44" t="s">
        <v>103</v>
      </c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3.5" thickBot="1" x14ac:dyDescent="0.25">
      <c r="A51" s="32">
        <v>1</v>
      </c>
      <c r="B51" s="13" t="s">
        <v>28</v>
      </c>
      <c r="C51" s="34">
        <v>2</v>
      </c>
      <c r="D51" s="5" t="s">
        <v>111</v>
      </c>
      <c r="E51" s="8"/>
      <c r="F51" s="8"/>
      <c r="G51" s="8"/>
      <c r="H51" s="8"/>
      <c r="I51" s="5"/>
      <c r="J51" s="5"/>
    </row>
    <row r="52" spans="1:10" x14ac:dyDescent="0.2">
      <c r="A52" s="32">
        <v>2</v>
      </c>
      <c r="B52" s="22" t="s">
        <v>35</v>
      </c>
      <c r="C52" s="33">
        <v>3</v>
      </c>
      <c r="D52" s="5" t="s">
        <v>111</v>
      </c>
      <c r="E52" s="8"/>
      <c r="F52" s="8"/>
      <c r="G52" s="8"/>
      <c r="H52" s="8"/>
      <c r="I52" s="5"/>
      <c r="J52" s="5"/>
    </row>
    <row r="53" spans="1:10" x14ac:dyDescent="0.2">
      <c r="A53" s="32">
        <v>3</v>
      </c>
      <c r="B53" s="13" t="s">
        <v>36</v>
      </c>
      <c r="C53" s="34">
        <v>4</v>
      </c>
      <c r="D53" s="5" t="s">
        <v>111</v>
      </c>
      <c r="E53" s="8"/>
      <c r="F53" s="8"/>
      <c r="G53" s="8"/>
      <c r="H53" s="8"/>
      <c r="I53" s="5"/>
      <c r="J53" s="5"/>
    </row>
    <row r="54" spans="1:10" x14ac:dyDescent="0.2">
      <c r="A54" s="42"/>
      <c r="B54" s="42"/>
      <c r="C54" s="42"/>
      <c r="D54" s="42"/>
      <c r="E54" s="42"/>
      <c r="F54" s="42"/>
      <c r="G54" s="42"/>
      <c r="H54" s="42"/>
      <c r="I54" s="42"/>
      <c r="J54" s="42"/>
    </row>
    <row r="58" spans="1:10" x14ac:dyDescent="0.2">
      <c r="A58" s="31" t="s">
        <v>8</v>
      </c>
      <c r="B58" s="7" t="s">
        <v>9</v>
      </c>
      <c r="C58" s="31" t="s">
        <v>10</v>
      </c>
      <c r="D58" s="7" t="s">
        <v>11</v>
      </c>
      <c r="E58" s="7" t="s">
        <v>12</v>
      </c>
      <c r="F58" s="7" t="s">
        <v>13</v>
      </c>
      <c r="G58" s="7" t="s">
        <v>14</v>
      </c>
      <c r="H58" s="7" t="s">
        <v>15</v>
      </c>
      <c r="I58" s="7" t="s">
        <v>16</v>
      </c>
      <c r="J58" s="7" t="s">
        <v>17</v>
      </c>
    </row>
    <row r="59" spans="1:10" x14ac:dyDescent="0.2">
      <c r="A59" s="32"/>
      <c r="B59" s="5"/>
      <c r="C59" s="32">
        <f>SUM(C61:C62)</f>
        <v>5</v>
      </c>
      <c r="D59" s="5"/>
      <c r="E59" s="5"/>
      <c r="F59" s="5"/>
      <c r="G59" s="5"/>
      <c r="H59" s="5"/>
      <c r="I59" s="5"/>
      <c r="J59" s="5"/>
    </row>
    <row r="60" spans="1:10" x14ac:dyDescent="0.2">
      <c r="A60" s="44" t="s">
        <v>104</v>
      </c>
      <c r="B60" s="44"/>
      <c r="C60" s="44"/>
      <c r="D60" s="44"/>
      <c r="E60" s="44"/>
      <c r="F60" s="44"/>
      <c r="G60" s="44"/>
      <c r="H60" s="44"/>
      <c r="I60" s="44"/>
      <c r="J60" s="44"/>
    </row>
    <row r="61" spans="1:10" x14ac:dyDescent="0.2">
      <c r="A61" s="32">
        <v>1</v>
      </c>
      <c r="B61" s="13" t="s">
        <v>45</v>
      </c>
      <c r="C61" s="34">
        <v>2</v>
      </c>
      <c r="D61" s="5" t="s">
        <v>111</v>
      </c>
      <c r="E61" s="8"/>
      <c r="F61" s="8"/>
      <c r="G61" s="8"/>
      <c r="H61" s="8"/>
      <c r="I61" s="5"/>
      <c r="J61" s="5"/>
    </row>
    <row r="62" spans="1:10" x14ac:dyDescent="0.2">
      <c r="A62" s="32">
        <v>2</v>
      </c>
      <c r="B62" s="13" t="s">
        <v>46</v>
      </c>
      <c r="C62" s="34">
        <v>3</v>
      </c>
      <c r="D62" s="5" t="s">
        <v>111</v>
      </c>
      <c r="E62" s="8"/>
      <c r="F62" s="8"/>
      <c r="G62" s="8"/>
      <c r="H62" s="8"/>
      <c r="I62" s="5"/>
      <c r="J62" s="5"/>
    </row>
    <row r="63" spans="1:10" x14ac:dyDescent="0.2">
      <c r="A63" s="42"/>
      <c r="B63" s="42"/>
      <c r="C63" s="42"/>
      <c r="D63" s="42"/>
      <c r="E63" s="42"/>
      <c r="F63" s="42"/>
      <c r="G63" s="42"/>
      <c r="H63" s="42"/>
      <c r="I63" s="42"/>
      <c r="J63" s="42"/>
    </row>
    <row r="67" spans="1:10" x14ac:dyDescent="0.2">
      <c r="A67" s="31" t="s">
        <v>8</v>
      </c>
      <c r="B67" s="7" t="s">
        <v>9</v>
      </c>
      <c r="C67" s="31" t="s">
        <v>10</v>
      </c>
      <c r="D67" s="7" t="s">
        <v>11</v>
      </c>
      <c r="E67" s="7" t="s">
        <v>12</v>
      </c>
      <c r="F67" s="7" t="s">
        <v>13</v>
      </c>
      <c r="G67" s="7" t="s">
        <v>14</v>
      </c>
      <c r="H67" s="7" t="s">
        <v>15</v>
      </c>
      <c r="I67" s="7" t="s">
        <v>16</v>
      </c>
      <c r="J67" s="7" t="s">
        <v>17</v>
      </c>
    </row>
    <row r="68" spans="1:10" x14ac:dyDescent="0.2">
      <c r="A68" s="32"/>
      <c r="B68" s="5"/>
      <c r="C68" s="32">
        <f>SUM(C70:C71)</f>
        <v>5</v>
      </c>
      <c r="D68" s="5"/>
      <c r="E68" s="5"/>
      <c r="F68" s="5"/>
      <c r="G68" s="5"/>
      <c r="H68" s="5"/>
      <c r="I68" s="5"/>
      <c r="J68" s="5"/>
    </row>
    <row r="69" spans="1:10" x14ac:dyDescent="0.2">
      <c r="A69" s="44" t="s">
        <v>105</v>
      </c>
      <c r="B69" s="44"/>
      <c r="C69" s="44"/>
      <c r="D69" s="44"/>
      <c r="E69" s="44"/>
      <c r="F69" s="44"/>
      <c r="G69" s="44"/>
      <c r="H69" s="44"/>
      <c r="I69" s="44"/>
      <c r="J69" s="44"/>
    </row>
    <row r="70" spans="1:10" x14ac:dyDescent="0.2">
      <c r="A70" s="32">
        <v>1</v>
      </c>
      <c r="B70" s="13" t="s">
        <v>47</v>
      </c>
      <c r="C70" s="34">
        <v>2</v>
      </c>
      <c r="D70" s="5" t="s">
        <v>111</v>
      </c>
      <c r="E70" s="8"/>
      <c r="F70" s="8"/>
      <c r="G70" s="8"/>
      <c r="H70" s="8"/>
      <c r="I70" s="5"/>
      <c r="J70" s="5"/>
    </row>
    <row r="71" spans="1:10" ht="13.5" thickBot="1" x14ac:dyDescent="0.25">
      <c r="A71" s="32">
        <v>2</v>
      </c>
      <c r="B71" s="13" t="s">
        <v>48</v>
      </c>
      <c r="C71" s="35">
        <v>3</v>
      </c>
      <c r="D71" s="5" t="s">
        <v>111</v>
      </c>
      <c r="E71" s="8"/>
      <c r="F71" s="8"/>
      <c r="G71" s="8"/>
      <c r="H71" s="8"/>
      <c r="I71" s="5"/>
      <c r="J71" s="5"/>
    </row>
    <row r="72" spans="1:10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</row>
    <row r="76" spans="1:10" x14ac:dyDescent="0.2">
      <c r="A76" s="31" t="s">
        <v>8</v>
      </c>
      <c r="B76" s="7" t="s">
        <v>9</v>
      </c>
      <c r="C76" s="31" t="s">
        <v>10</v>
      </c>
      <c r="D76" s="7" t="s">
        <v>11</v>
      </c>
      <c r="E76" s="7" t="s">
        <v>12</v>
      </c>
      <c r="F76" s="7" t="s">
        <v>13</v>
      </c>
      <c r="G76" s="7" t="s">
        <v>14</v>
      </c>
      <c r="H76" s="7" t="s">
        <v>15</v>
      </c>
      <c r="I76" s="7" t="s">
        <v>16</v>
      </c>
      <c r="J76" s="7" t="s">
        <v>17</v>
      </c>
    </row>
    <row r="77" spans="1:10" x14ac:dyDescent="0.2">
      <c r="A77" s="32"/>
      <c r="B77" s="5"/>
      <c r="C77" s="32">
        <f>SUM(C79:C80)</f>
        <v>4</v>
      </c>
      <c r="D77" s="5"/>
      <c r="E77" s="5"/>
      <c r="F77" s="5"/>
      <c r="G77" s="5"/>
      <c r="H77" s="5"/>
      <c r="I77" s="5"/>
      <c r="J77" s="5"/>
    </row>
    <row r="78" spans="1:10" ht="13.5" thickBot="1" x14ac:dyDescent="0.25">
      <c r="A78" s="44" t="s">
        <v>106</v>
      </c>
      <c r="B78" s="44"/>
      <c r="C78" s="44"/>
      <c r="D78" s="44"/>
      <c r="E78" s="44"/>
      <c r="F78" s="44"/>
      <c r="G78" s="44"/>
      <c r="H78" s="44"/>
      <c r="I78" s="44"/>
      <c r="J78" s="44"/>
    </row>
    <row r="79" spans="1:10" x14ac:dyDescent="0.2">
      <c r="A79" s="32">
        <v>1</v>
      </c>
      <c r="B79" s="13" t="s">
        <v>50</v>
      </c>
      <c r="C79" s="33">
        <v>2</v>
      </c>
      <c r="D79" s="5" t="s">
        <v>111</v>
      </c>
      <c r="E79" s="8"/>
      <c r="F79" s="8"/>
      <c r="G79" s="8"/>
      <c r="H79" s="8"/>
      <c r="I79" s="5"/>
      <c r="J79" s="5"/>
    </row>
    <row r="80" spans="1:10" ht="13.5" thickBot="1" x14ac:dyDescent="0.25">
      <c r="A80" s="32">
        <v>2</v>
      </c>
      <c r="B80" s="4" t="s">
        <v>51</v>
      </c>
      <c r="C80" s="35">
        <v>2</v>
      </c>
      <c r="D80" s="5" t="s">
        <v>111</v>
      </c>
      <c r="E80" s="8"/>
      <c r="F80" s="8"/>
      <c r="G80" s="8"/>
      <c r="H80" s="8"/>
      <c r="I80" s="5"/>
      <c r="J80" s="5"/>
    </row>
    <row r="81" spans="1:10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</row>
    <row r="85" spans="1:10" x14ac:dyDescent="0.2">
      <c r="A85" s="31" t="s">
        <v>8</v>
      </c>
      <c r="B85" s="7" t="s">
        <v>9</v>
      </c>
      <c r="C85" s="31" t="s">
        <v>10</v>
      </c>
      <c r="D85" s="7" t="s">
        <v>11</v>
      </c>
      <c r="E85" s="7" t="s">
        <v>12</v>
      </c>
      <c r="F85" s="7" t="s">
        <v>13</v>
      </c>
      <c r="G85" s="7" t="s">
        <v>14</v>
      </c>
      <c r="H85" s="7" t="s">
        <v>15</v>
      </c>
      <c r="I85" s="7" t="s">
        <v>16</v>
      </c>
      <c r="J85" s="7" t="s">
        <v>17</v>
      </c>
    </row>
    <row r="86" spans="1:10" x14ac:dyDescent="0.2">
      <c r="A86" s="32"/>
      <c r="B86" s="5"/>
      <c r="C86" s="32">
        <f>SUM(C88:C89)</f>
        <v>4</v>
      </c>
      <c r="D86" s="5"/>
      <c r="E86" s="5"/>
      <c r="F86" s="5"/>
      <c r="G86" s="5"/>
      <c r="H86" s="5"/>
      <c r="I86" s="5"/>
      <c r="J86" s="5"/>
    </row>
    <row r="87" spans="1:10" x14ac:dyDescent="0.2">
      <c r="A87" s="44" t="s">
        <v>107</v>
      </c>
      <c r="B87" s="44"/>
      <c r="C87" s="44"/>
      <c r="D87" s="44"/>
      <c r="E87" s="44"/>
      <c r="F87" s="44"/>
      <c r="G87" s="44"/>
      <c r="H87" s="44"/>
      <c r="I87" s="44"/>
      <c r="J87" s="44"/>
    </row>
    <row r="88" spans="1:10" x14ac:dyDescent="0.2">
      <c r="A88" s="32">
        <v>1</v>
      </c>
      <c r="B88" t="s">
        <v>54</v>
      </c>
      <c r="C88" s="34">
        <v>2</v>
      </c>
      <c r="D88" s="5" t="s">
        <v>111</v>
      </c>
      <c r="E88" s="8"/>
      <c r="F88" s="8"/>
      <c r="G88" s="8"/>
      <c r="H88" s="8"/>
      <c r="I88" s="5"/>
      <c r="J88" s="5"/>
    </row>
    <row r="89" spans="1:10" ht="13.5" thickBot="1" x14ac:dyDescent="0.25">
      <c r="A89" s="32">
        <v>2</v>
      </c>
      <c r="B89" s="1" t="s">
        <v>58</v>
      </c>
      <c r="C89" s="35">
        <v>2</v>
      </c>
      <c r="D89" s="5" t="s">
        <v>111</v>
      </c>
      <c r="E89" s="8"/>
      <c r="F89" s="8"/>
      <c r="G89" s="8"/>
      <c r="H89" s="8"/>
      <c r="I89" s="5"/>
      <c r="J89" s="5"/>
    </row>
    <row r="90" spans="1:10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</row>
    <row r="94" spans="1:10" x14ac:dyDescent="0.2">
      <c r="A94" s="31" t="s">
        <v>8</v>
      </c>
      <c r="B94" s="7" t="s">
        <v>9</v>
      </c>
      <c r="C94" s="31" t="s">
        <v>10</v>
      </c>
      <c r="D94" s="7" t="s">
        <v>11</v>
      </c>
      <c r="E94" s="7" t="s">
        <v>12</v>
      </c>
      <c r="F94" s="7" t="s">
        <v>13</v>
      </c>
      <c r="G94" s="7" t="s">
        <v>14</v>
      </c>
      <c r="H94" s="7" t="s">
        <v>15</v>
      </c>
      <c r="I94" s="7" t="s">
        <v>16</v>
      </c>
      <c r="J94" s="7" t="s">
        <v>17</v>
      </c>
    </row>
    <row r="95" spans="1:10" x14ac:dyDescent="0.2">
      <c r="A95" s="32"/>
      <c r="B95" s="5"/>
      <c r="C95" s="32">
        <f>SUM(C97:C99)</f>
        <v>13</v>
      </c>
      <c r="D95" s="5"/>
      <c r="E95" s="5"/>
      <c r="F95" s="5"/>
      <c r="G95" s="5"/>
      <c r="H95" s="5"/>
      <c r="I95" s="5"/>
      <c r="J95" s="5"/>
    </row>
    <row r="96" spans="1:10" ht="13.5" thickBot="1" x14ac:dyDescent="0.25">
      <c r="A96" s="44" t="s">
        <v>108</v>
      </c>
      <c r="B96" s="44"/>
      <c r="C96" s="44"/>
      <c r="D96" s="44"/>
      <c r="E96" s="44"/>
      <c r="F96" s="44"/>
      <c r="G96" s="44"/>
      <c r="H96" s="44"/>
      <c r="I96" s="44"/>
      <c r="J96" s="44"/>
    </row>
    <row r="97" spans="1:10" x14ac:dyDescent="0.2">
      <c r="A97" s="32">
        <v>1</v>
      </c>
      <c r="B97" t="s">
        <v>57</v>
      </c>
      <c r="C97" s="33">
        <v>4</v>
      </c>
      <c r="D97" s="5" t="s">
        <v>111</v>
      </c>
      <c r="E97" s="8"/>
      <c r="F97" s="8"/>
      <c r="G97" s="8"/>
      <c r="H97" s="8"/>
      <c r="I97" s="5"/>
      <c r="J97" s="5"/>
    </row>
    <row r="98" spans="1:10" ht="13.5" thickBot="1" x14ac:dyDescent="0.25">
      <c r="A98" s="32">
        <v>2</v>
      </c>
      <c r="B98" s="13" t="s">
        <v>55</v>
      </c>
      <c r="C98" s="35">
        <v>4</v>
      </c>
      <c r="D98" s="5" t="s">
        <v>111</v>
      </c>
      <c r="E98" s="8"/>
      <c r="F98" s="8"/>
      <c r="G98" s="8"/>
      <c r="H98" s="8"/>
      <c r="I98" s="5"/>
      <c r="J98" s="5"/>
    </row>
    <row r="99" spans="1:10" x14ac:dyDescent="0.2">
      <c r="A99" s="32">
        <v>3</v>
      </c>
      <c r="B99" s="13" t="s">
        <v>53</v>
      </c>
      <c r="C99" s="33">
        <v>5</v>
      </c>
      <c r="D99" s="5" t="s">
        <v>111</v>
      </c>
      <c r="E99" s="8"/>
      <c r="F99" s="8"/>
      <c r="G99" s="8"/>
      <c r="H99" s="8"/>
      <c r="I99" s="5"/>
      <c r="J99" s="5"/>
    </row>
    <row r="100" spans="1:10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</row>
  </sheetData>
  <mergeCells count="23">
    <mergeCell ref="A90:J90"/>
    <mergeCell ref="A96:J96"/>
    <mergeCell ref="A100:J100"/>
    <mergeCell ref="A69:J69"/>
    <mergeCell ref="A72:J72"/>
    <mergeCell ref="A78:J78"/>
    <mergeCell ref="A81:J81"/>
    <mergeCell ref="A87:J87"/>
    <mergeCell ref="A44:J44"/>
    <mergeCell ref="A50:J50"/>
    <mergeCell ref="A54:J54"/>
    <mergeCell ref="A60:J60"/>
    <mergeCell ref="A63:J63"/>
    <mergeCell ref="A18:J18"/>
    <mergeCell ref="A23:J23"/>
    <mergeCell ref="A29:J29"/>
    <mergeCell ref="A34:J34"/>
    <mergeCell ref="A40:J40"/>
    <mergeCell ref="A12:J12"/>
    <mergeCell ref="A1:J1"/>
    <mergeCell ref="E3:F3"/>
    <mergeCell ref="G3:H3"/>
    <mergeCell ref="A6:J6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Project Information</vt:lpstr>
      <vt:lpstr>Team</vt:lpstr>
      <vt:lpstr>Product backlog</vt:lpstr>
      <vt:lpstr>Sprint backlog</vt:lpstr>
    </vt:vector>
  </TitlesOfParts>
  <Manager/>
  <Company>Nokia Oyj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BRMS Product Backlog</dc:title>
  <dc:subject/>
  <dc:creator>Le Hong Vu (Softech)</dc:creator>
  <cp:keywords>DNG67, BRMS</cp:keywords>
  <dc:description/>
  <cp:lastModifiedBy>Đặng Quốc Hưng</cp:lastModifiedBy>
  <cp:revision/>
  <dcterms:created xsi:type="dcterms:W3CDTF">2007-09-27T18:30:44Z</dcterms:created>
  <dcterms:modified xsi:type="dcterms:W3CDTF">2025-09-17T07:17:24Z</dcterms:modified>
  <cp:category>DNG67</cp:category>
  <cp:contentStatus/>
</cp:coreProperties>
</file>